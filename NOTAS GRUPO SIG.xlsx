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racevillarreal/Documents/SISTEMA DE GESTION/"/>
    </mc:Choice>
  </mc:AlternateContent>
  <xr:revisionPtr revIDLastSave="0" documentId="13_ncr:1_{50050FCF-8B02-D446-80D1-566FE75B38E2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Registro de Notas" sheetId="1" r:id="rId1"/>
  </sheets>
  <definedNames>
    <definedName name="_xlnm._FilterDatabase" localSheetId="0" hidden="1">'Registro de Notas'!$A$1:$H$33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33" i="1"/>
  <c r="H29" i="1"/>
  <c r="H30" i="1"/>
  <c r="H31" i="1"/>
  <c r="H32" i="1"/>
  <c r="H33" i="1"/>
  <c r="G32" i="1"/>
  <c r="E12" i="1"/>
  <c r="E33" i="1"/>
  <c r="E32" i="1"/>
  <c r="E31" i="1" l="1"/>
  <c r="G31" i="1" s="1"/>
  <c r="E30" i="1"/>
  <c r="G30" i="1" s="1"/>
  <c r="E29" i="1"/>
  <c r="G29" i="1" s="1"/>
  <c r="E28" i="1"/>
  <c r="G28" i="1" s="1"/>
  <c r="H28" i="1" s="1"/>
  <c r="E27" i="1"/>
  <c r="G27" i="1" s="1"/>
  <c r="H27" i="1" s="1"/>
  <c r="E26" i="1"/>
  <c r="G26" i="1" s="1"/>
  <c r="H26" i="1" s="1"/>
  <c r="E25" i="1"/>
  <c r="G25" i="1" s="1"/>
  <c r="H25" i="1" s="1"/>
  <c r="E24" i="1"/>
  <c r="G24" i="1" s="1"/>
  <c r="H24" i="1" s="1"/>
  <c r="E23" i="1"/>
  <c r="G23" i="1" s="1"/>
  <c r="H23" i="1" s="1"/>
  <c r="E22" i="1"/>
  <c r="G22" i="1" s="1"/>
  <c r="H22" i="1" s="1"/>
  <c r="E21" i="1"/>
  <c r="G21" i="1" s="1"/>
  <c r="H21" i="1" s="1"/>
  <c r="E20" i="1"/>
  <c r="G20" i="1" s="1"/>
  <c r="H20" i="1" s="1"/>
  <c r="E19" i="1"/>
  <c r="G19" i="1" s="1"/>
  <c r="H19" i="1" s="1"/>
  <c r="E18" i="1"/>
  <c r="G18" i="1" s="1"/>
  <c r="E17" i="1"/>
  <c r="G17" i="1" s="1"/>
  <c r="H17" i="1" s="1"/>
  <c r="E16" i="1"/>
  <c r="G16" i="1" s="1"/>
  <c r="H16" i="1" s="1"/>
  <c r="E15" i="1"/>
  <c r="G15" i="1" s="1"/>
  <c r="H15" i="1" s="1"/>
  <c r="E14" i="1"/>
  <c r="G14" i="1" s="1"/>
  <c r="H14" i="1" s="1"/>
  <c r="E13" i="1"/>
  <c r="G13" i="1" s="1"/>
  <c r="H13" i="1" s="1"/>
  <c r="G12" i="1"/>
  <c r="H12" i="1" s="1"/>
  <c r="E11" i="1"/>
  <c r="G11" i="1" s="1"/>
  <c r="H11" i="1" s="1"/>
  <c r="E10" i="1"/>
  <c r="G10" i="1" s="1"/>
  <c r="H10" i="1" s="1"/>
  <c r="E9" i="1"/>
  <c r="G9" i="1" s="1"/>
  <c r="H9" i="1" s="1"/>
  <c r="E8" i="1"/>
  <c r="G8" i="1" s="1"/>
  <c r="H8" i="1" s="1"/>
  <c r="E7" i="1"/>
  <c r="G7" i="1" s="1"/>
  <c r="H7" i="1" s="1"/>
  <c r="E6" i="1"/>
  <c r="G6" i="1" s="1"/>
  <c r="H6" i="1" s="1"/>
  <c r="E5" i="1"/>
  <c r="G5" i="1" s="1"/>
  <c r="H5" i="1" s="1"/>
  <c r="E4" i="1"/>
  <c r="G4" i="1" s="1"/>
  <c r="H4" i="1" s="1"/>
  <c r="E3" i="1"/>
  <c r="H3" i="1" s="1"/>
  <c r="E2" i="1"/>
  <c r="G2" i="1" s="1"/>
  <c r="H18" i="1" l="1"/>
  <c r="H2" i="1"/>
</calcChain>
</file>

<file path=xl/sharedStrings.xml><?xml version="1.0" encoding="utf-8"?>
<sst xmlns="http://schemas.openxmlformats.org/spreadsheetml/2006/main" count="42" uniqueCount="42">
  <si>
    <t>Estudiante</t>
  </si>
  <si>
    <t>Foro</t>
  </si>
  <si>
    <t>Promedio Formativa (30%)</t>
  </si>
  <si>
    <t>Parcial (70%)</t>
  </si>
  <si>
    <t>Definitiva</t>
  </si>
  <si>
    <t>Estado</t>
  </si>
  <si>
    <t>ACOSTA RODRIGUEZ ANDREA CAROLINA</t>
  </si>
  <si>
    <t>AYOLA MORA FRANCISCO JAVIER</t>
  </si>
  <si>
    <t>BERMUDEZ SEVERICHE JOSHUA DANIEL</t>
  </si>
  <si>
    <t>CARO MALDONADO JUAN DAVID</t>
  </si>
  <si>
    <t>CARRILLO RUIZ SHADIA DEL CARMEN</t>
  </si>
  <si>
    <t>CHARRIS URSOLA SANTIAGO DENILSON</t>
  </si>
  <si>
    <t>DE LA CRUZ CABRALES DAYANI LORENA</t>
  </si>
  <si>
    <t>DE LA HOZ CABALLERO DYER</t>
  </si>
  <si>
    <t>GOMEZ NUÑEZ ANDREA ISABEL</t>
  </si>
  <si>
    <t>GONZALEZ MONSALVE JESUS DANIEL</t>
  </si>
  <si>
    <t>HERNÁNDEZ VASQUEZ ADRIANA LUCIA</t>
  </si>
  <si>
    <t>MANJARRES ACOSTA VALENTINA PAOLA</t>
  </si>
  <si>
    <t>MARTINEZ CAMACHO LORENA KAROLAY</t>
  </si>
  <si>
    <t>MARTINEZ CAMPO CARLOS DE JESUS</t>
  </si>
  <si>
    <t>MONTALVO LARA ANDREA CAROLINA</t>
  </si>
  <si>
    <t>MORALES MIRANDA YOLAINE PATRICIA</t>
  </si>
  <si>
    <t>MORENO BERMEJO HECTOR JULIAN</t>
  </si>
  <si>
    <t>MORENO VENTURA JOSTIN ANDRES</t>
  </si>
  <si>
    <t>OLIVARES MORENO ADDRIAN SAID</t>
  </si>
  <si>
    <t>ORTIZ SIBAJA KEVIN RAFAEL</t>
  </si>
  <si>
    <t>OTERO BELEÑO NAIN SOFIA</t>
  </si>
  <si>
    <t>PACHECO BARRIOS MELISSA PAOLA</t>
  </si>
  <si>
    <t>PADILLA MORENO SOLANYI MICHEL</t>
  </si>
  <si>
    <t>PAVAJEAU MONCADA JEAN DAVID</t>
  </si>
  <si>
    <t>POLO ALFARO MAURO ALEXANDER</t>
  </si>
  <si>
    <t>POLO MEDINA CAMILA ISABEL</t>
  </si>
  <si>
    <t>RODRIGUEZ FERNANDEZ JENIFER KARINA</t>
  </si>
  <si>
    <t>ROJAS GONZALEZ ALLAN ANDRES</t>
  </si>
  <si>
    <t>RUIZ FIGUEROA DANNA MISHEL</t>
  </si>
  <si>
    <t>SANTANA CARRILLO LICETH DEL CARMEN</t>
  </si>
  <si>
    <t>VALLEJO RIBON NURELIA ESTHER</t>
  </si>
  <si>
    <t>ZARATE MUÑOZ JAZMIN ANDREA</t>
  </si>
  <si>
    <t>1.0</t>
  </si>
  <si>
    <t>Taller Diseñando un SIG</t>
  </si>
  <si>
    <t>4.6</t>
  </si>
  <si>
    <t>Modelos y estándares para la integración de Sistemas de Gestión: Norma PAS 99 y Norma UNE 66177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</si>
</sst>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3" fillId="0" borderId="0" xfId="0" applyFont="1"/>
    <xf numFmtId="0" fontId="4" fillId="2" borderId="1" xfId="0" applyFont="1" applyFill="1" applyBorder="1" applyAlignment="1">
      <alignment horizontal="left" wrapText="1"/>
    </xf>
    <xf numFmtId="0" fontId="5" fillId="2" borderId="0" xfId="0" applyFont="1" applyFill="1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30.83203125" customWidth="1"/>
    <col min="2" max="8" width="24" customWidth="1"/>
  </cols>
  <sheetData>
    <row r="1" spans="1:8" x14ac:dyDescent="0.2">
      <c r="A1" s="1" t="s">
        <v>0</v>
      </c>
      <c r="B1" s="1" t="s">
        <v>1</v>
      </c>
      <c r="C1" s="3" t="s">
        <v>39</v>
      </c>
      <c r="D1" s="3" t="s">
        <v>41</v>
      </c>
      <c r="E1" s="1" t="s">
        <v>2</v>
      </c>
      <c r="F1" s="3" t="s">
        <v>3</v>
      </c>
      <c r="G1" s="1" t="s">
        <v>4</v>
      </c>
      <c r="H1" s="1" t="s">
        <v>5</v>
      </c>
    </row>
    <row r="2" spans="1:8" x14ac:dyDescent="0.2">
      <c r="A2" s="2" t="s">
        <v>6</v>
      </c>
      <c r="B2" s="6"/>
      <c r="C2" s="6">
        <v>4.4000000000000004</v>
      </c>
      <c r="D2" s="6"/>
      <c r="E2">
        <f>AVERAGE(B2:D2)</f>
        <v>4.4000000000000004</v>
      </c>
      <c r="F2">
        <v>4.6500000000000004</v>
      </c>
      <c r="G2">
        <f>(E2*0.3)+(F2*0.6)</f>
        <v>4.1100000000000003</v>
      </c>
      <c r="H2" t="str">
        <f t="shared" ref="H2:H33" si="0">IF(G2&gt;=3,"APROBÓ","REPROBÓ")</f>
        <v>APROBÓ</v>
      </c>
    </row>
    <row r="3" spans="1:8" x14ac:dyDescent="0.2">
      <c r="A3" s="2" t="s">
        <v>7</v>
      </c>
      <c r="B3" s="6"/>
      <c r="C3" s="6"/>
      <c r="D3" s="6">
        <v>4.0999999999999996</v>
      </c>
      <c r="E3">
        <f>AVERAGE(B3:D3)</f>
        <v>4.0999999999999996</v>
      </c>
      <c r="F3">
        <v>3.81</v>
      </c>
      <c r="G3">
        <f>(E3*0.3)+(F3*0.7)</f>
        <v>3.8969999999999994</v>
      </c>
      <c r="H3" t="str">
        <f t="shared" si="0"/>
        <v>APROBÓ</v>
      </c>
    </row>
    <row r="4" spans="1:8" x14ac:dyDescent="0.2">
      <c r="A4" s="2" t="s">
        <v>8</v>
      </c>
      <c r="B4" s="6"/>
      <c r="C4" s="6">
        <v>4.5</v>
      </c>
      <c r="D4" s="6">
        <v>3.9</v>
      </c>
      <c r="E4">
        <f>AVERAGE(B4:D4)</f>
        <v>4.2</v>
      </c>
      <c r="G4">
        <f t="shared" ref="G2:G33" si="1">(E4*0.3)+(F4*0.7)</f>
        <v>1.26</v>
      </c>
      <c r="H4" t="str">
        <f t="shared" si="0"/>
        <v>REPROBÓ</v>
      </c>
    </row>
    <row r="5" spans="1:8" x14ac:dyDescent="0.2">
      <c r="A5" s="2" t="s">
        <v>9</v>
      </c>
      <c r="B5" s="6"/>
      <c r="C5" s="6"/>
      <c r="D5" s="6">
        <v>4.7</v>
      </c>
      <c r="E5">
        <f>AVERAGE(B5:D5)</f>
        <v>4.7</v>
      </c>
      <c r="F5">
        <v>3.5</v>
      </c>
      <c r="G5">
        <f t="shared" si="1"/>
        <v>3.8599999999999994</v>
      </c>
      <c r="H5" t="str">
        <f t="shared" si="0"/>
        <v>APROBÓ</v>
      </c>
    </row>
    <row r="6" spans="1:8" x14ac:dyDescent="0.2">
      <c r="A6" s="2" t="s">
        <v>10</v>
      </c>
      <c r="B6" s="6"/>
      <c r="C6" s="6">
        <v>4.7</v>
      </c>
      <c r="D6" s="6">
        <v>4.2</v>
      </c>
      <c r="E6">
        <f>AVERAGE(B6:D6)</f>
        <v>4.45</v>
      </c>
      <c r="F6">
        <v>4.46</v>
      </c>
      <c r="G6">
        <f t="shared" si="1"/>
        <v>4.4569999999999999</v>
      </c>
      <c r="H6" t="str">
        <f t="shared" si="0"/>
        <v>APROBÓ</v>
      </c>
    </row>
    <row r="7" spans="1:8" x14ac:dyDescent="0.2">
      <c r="A7" s="2" t="s">
        <v>11</v>
      </c>
      <c r="B7" s="6"/>
      <c r="C7" s="6"/>
      <c r="D7" s="6">
        <v>3.9</v>
      </c>
      <c r="E7">
        <f>AVERAGE(B7:D7)</f>
        <v>3.9</v>
      </c>
      <c r="F7">
        <v>4.5999999999999996</v>
      </c>
      <c r="G7">
        <f t="shared" si="1"/>
        <v>4.3899999999999997</v>
      </c>
      <c r="H7" t="str">
        <f t="shared" si="0"/>
        <v>APROBÓ</v>
      </c>
    </row>
    <row r="8" spans="1:8" x14ac:dyDescent="0.2">
      <c r="A8" s="2" t="s">
        <v>12</v>
      </c>
      <c r="B8" s="6"/>
      <c r="C8" s="6" t="s">
        <v>38</v>
      </c>
      <c r="D8" s="6">
        <v>4.5</v>
      </c>
      <c r="E8">
        <f>AVERAGE(B8:D8)</f>
        <v>4.5</v>
      </c>
      <c r="F8">
        <v>4</v>
      </c>
      <c r="G8">
        <f t="shared" si="1"/>
        <v>4.1499999999999995</v>
      </c>
      <c r="H8" t="str">
        <f t="shared" si="0"/>
        <v>APROBÓ</v>
      </c>
    </row>
    <row r="9" spans="1:8" x14ac:dyDescent="0.2">
      <c r="A9" s="2" t="s">
        <v>13</v>
      </c>
      <c r="B9" s="6"/>
      <c r="C9" s="6"/>
      <c r="D9" s="6">
        <v>3.7</v>
      </c>
      <c r="E9">
        <f>AVERAGE(B9:D9)</f>
        <v>3.7</v>
      </c>
      <c r="F9">
        <v>4.3</v>
      </c>
      <c r="G9">
        <f t="shared" si="1"/>
        <v>4.12</v>
      </c>
      <c r="H9" t="str">
        <f t="shared" si="0"/>
        <v>APROBÓ</v>
      </c>
    </row>
    <row r="10" spans="1:8" x14ac:dyDescent="0.2">
      <c r="A10" s="2" t="s">
        <v>14</v>
      </c>
      <c r="B10" s="6"/>
      <c r="C10" s="6">
        <v>4.2</v>
      </c>
      <c r="D10" s="6">
        <v>4.5</v>
      </c>
      <c r="E10">
        <f>AVERAGE(B10:D10)</f>
        <v>4.3499999999999996</v>
      </c>
      <c r="F10">
        <v>4.03</v>
      </c>
      <c r="G10">
        <f t="shared" si="1"/>
        <v>4.1260000000000003</v>
      </c>
      <c r="H10" t="str">
        <f t="shared" si="0"/>
        <v>APROBÓ</v>
      </c>
    </row>
    <row r="11" spans="1:8" x14ac:dyDescent="0.2">
      <c r="A11" s="2" t="s">
        <v>15</v>
      </c>
      <c r="B11" s="6"/>
      <c r="C11" s="6">
        <v>4</v>
      </c>
      <c r="D11" s="6">
        <v>4.5999999999999996</v>
      </c>
      <c r="E11">
        <f>AVERAGE(B11:D11)</f>
        <v>4.3</v>
      </c>
      <c r="F11">
        <v>3.95</v>
      </c>
      <c r="G11">
        <f t="shared" si="1"/>
        <v>4.0549999999999997</v>
      </c>
      <c r="H11" t="str">
        <f t="shared" si="0"/>
        <v>APROBÓ</v>
      </c>
    </row>
    <row r="12" spans="1:8" x14ac:dyDescent="0.2">
      <c r="A12" s="4" t="s">
        <v>16</v>
      </c>
      <c r="B12" s="7"/>
      <c r="C12" s="7"/>
      <c r="D12" s="7"/>
      <c r="E12" s="5" t="e">
        <f>AVERAGE(B12:D12)</f>
        <v>#DIV/0!</v>
      </c>
      <c r="F12" s="5">
        <v>4.3099999999999996</v>
      </c>
      <c r="G12" s="5" t="e">
        <f t="shared" si="1"/>
        <v>#DIV/0!</v>
      </c>
      <c r="H12" s="5" t="e">
        <f t="shared" si="0"/>
        <v>#DIV/0!</v>
      </c>
    </row>
    <row r="13" spans="1:8" x14ac:dyDescent="0.2">
      <c r="A13" s="2" t="s">
        <v>17</v>
      </c>
      <c r="B13" s="6"/>
      <c r="C13" s="6">
        <v>4.3</v>
      </c>
      <c r="D13" s="6">
        <v>3.4</v>
      </c>
      <c r="E13">
        <f>AVERAGE(B13:D13)</f>
        <v>3.8499999999999996</v>
      </c>
      <c r="F13">
        <v>4.5</v>
      </c>
      <c r="G13">
        <f t="shared" si="1"/>
        <v>4.3049999999999997</v>
      </c>
      <c r="H13" t="str">
        <f t="shared" si="0"/>
        <v>APROBÓ</v>
      </c>
    </row>
    <row r="14" spans="1:8" x14ac:dyDescent="0.2">
      <c r="A14" s="2" t="s">
        <v>18</v>
      </c>
      <c r="B14" s="6"/>
      <c r="C14" s="6"/>
      <c r="D14" s="6">
        <v>4.7</v>
      </c>
      <c r="E14">
        <f>AVERAGE(B14:D14)</f>
        <v>4.7</v>
      </c>
      <c r="F14">
        <v>4.7</v>
      </c>
      <c r="G14">
        <f t="shared" si="1"/>
        <v>4.7</v>
      </c>
      <c r="H14" t="str">
        <f t="shared" si="0"/>
        <v>APROBÓ</v>
      </c>
    </row>
    <row r="15" spans="1:8" x14ac:dyDescent="0.2">
      <c r="A15" s="2" t="s">
        <v>19</v>
      </c>
      <c r="B15" s="6"/>
      <c r="C15" s="6">
        <v>4.5</v>
      </c>
      <c r="D15" s="6">
        <v>4.5999999999999996</v>
      </c>
      <c r="E15">
        <f>AVERAGE(B15:D15)</f>
        <v>4.55</v>
      </c>
      <c r="F15">
        <v>4.2</v>
      </c>
      <c r="G15">
        <f t="shared" si="1"/>
        <v>4.3049999999999997</v>
      </c>
      <c r="H15" t="str">
        <f t="shared" si="0"/>
        <v>APROBÓ</v>
      </c>
    </row>
    <row r="16" spans="1:8" x14ac:dyDescent="0.2">
      <c r="A16" s="2" t="s">
        <v>20</v>
      </c>
      <c r="B16" s="6"/>
      <c r="C16" s="6">
        <v>4.5999999999999996</v>
      </c>
      <c r="D16" s="6">
        <v>4.4000000000000004</v>
      </c>
      <c r="E16">
        <f>AVERAGE(B16:D16)</f>
        <v>4.5</v>
      </c>
      <c r="F16">
        <v>4.0599999999999996</v>
      </c>
      <c r="G16">
        <f t="shared" si="1"/>
        <v>4.1919999999999993</v>
      </c>
      <c r="H16" t="str">
        <f t="shared" si="0"/>
        <v>APROBÓ</v>
      </c>
    </row>
    <row r="17" spans="1:8" x14ac:dyDescent="0.2">
      <c r="A17" s="4" t="s">
        <v>21</v>
      </c>
      <c r="B17" s="7"/>
      <c r="C17" s="7"/>
      <c r="D17" s="7"/>
      <c r="E17" s="5" t="e">
        <f>AVERAGE(B17:D17)</f>
        <v>#DIV/0!</v>
      </c>
      <c r="F17" s="5"/>
      <c r="G17" s="5" t="e">
        <f t="shared" si="1"/>
        <v>#DIV/0!</v>
      </c>
      <c r="H17" s="5" t="e">
        <f t="shared" si="0"/>
        <v>#DIV/0!</v>
      </c>
    </row>
    <row r="18" spans="1:8" x14ac:dyDescent="0.2">
      <c r="A18" s="2" t="s">
        <v>22</v>
      </c>
      <c r="B18" s="6"/>
      <c r="C18" s="6">
        <v>3.9</v>
      </c>
      <c r="D18" s="6">
        <v>3.9</v>
      </c>
      <c r="E18">
        <f>AVERAGE(B18:D18)</f>
        <v>3.9</v>
      </c>
      <c r="F18">
        <v>4.5</v>
      </c>
      <c r="G18">
        <f>(E18*0.3)+(F18*0.7)</f>
        <v>4.32</v>
      </c>
      <c r="H18" t="str">
        <f t="shared" si="0"/>
        <v>APROBÓ</v>
      </c>
    </row>
    <row r="19" spans="1:8" x14ac:dyDescent="0.2">
      <c r="A19" s="2" t="s">
        <v>23</v>
      </c>
      <c r="B19" s="6"/>
      <c r="C19" s="6"/>
      <c r="D19" s="6">
        <v>4.8</v>
      </c>
      <c r="E19">
        <f>AVERAGE(B19:D19)</f>
        <v>4.8</v>
      </c>
      <c r="F19">
        <v>4.3</v>
      </c>
      <c r="G19">
        <f t="shared" si="1"/>
        <v>4.4499999999999993</v>
      </c>
      <c r="H19" t="str">
        <f t="shared" si="0"/>
        <v>APROBÓ</v>
      </c>
    </row>
    <row r="20" spans="1:8" x14ac:dyDescent="0.2">
      <c r="A20" s="4" t="s">
        <v>24</v>
      </c>
      <c r="B20" s="7"/>
      <c r="C20" s="7"/>
      <c r="D20" s="7"/>
      <c r="E20" s="5" t="e">
        <f>AVERAGE(B20:D20)</f>
        <v>#DIV/0!</v>
      </c>
      <c r="F20" s="5">
        <v>4.46</v>
      </c>
      <c r="G20" s="5" t="e">
        <f t="shared" si="1"/>
        <v>#DIV/0!</v>
      </c>
      <c r="H20" s="5" t="e">
        <f t="shared" si="0"/>
        <v>#DIV/0!</v>
      </c>
    </row>
    <row r="21" spans="1:8" x14ac:dyDescent="0.2">
      <c r="A21" s="2" t="s">
        <v>25</v>
      </c>
      <c r="B21" s="6"/>
      <c r="C21" s="6">
        <v>4</v>
      </c>
      <c r="D21" s="6">
        <v>4</v>
      </c>
      <c r="E21">
        <f>AVERAGE(B21:D21)</f>
        <v>4</v>
      </c>
      <c r="F21">
        <v>4.21</v>
      </c>
      <c r="G21">
        <f t="shared" si="1"/>
        <v>4.1469999999999994</v>
      </c>
      <c r="H21" t="str">
        <f t="shared" si="0"/>
        <v>APROBÓ</v>
      </c>
    </row>
    <row r="22" spans="1:8" x14ac:dyDescent="0.2">
      <c r="A22" s="2" t="s">
        <v>26</v>
      </c>
      <c r="B22" s="6"/>
      <c r="C22" s="6"/>
      <c r="D22" s="6">
        <v>4.3</v>
      </c>
      <c r="E22">
        <f>AVERAGE(B22:D22)</f>
        <v>4.3</v>
      </c>
      <c r="F22">
        <v>4.0999999999999996</v>
      </c>
      <c r="G22">
        <f t="shared" si="1"/>
        <v>4.1599999999999993</v>
      </c>
      <c r="H22" t="str">
        <f t="shared" si="0"/>
        <v>APROBÓ</v>
      </c>
    </row>
    <row r="23" spans="1:8" x14ac:dyDescent="0.2">
      <c r="A23" s="2" t="s">
        <v>27</v>
      </c>
      <c r="B23" s="6"/>
      <c r="C23" s="6">
        <v>4</v>
      </c>
      <c r="D23" s="6">
        <v>4.0999999999999996</v>
      </c>
      <c r="E23">
        <f>AVERAGE(B23:D23)</f>
        <v>4.05</v>
      </c>
      <c r="F23">
        <v>4.5</v>
      </c>
      <c r="G23">
        <f t="shared" si="1"/>
        <v>4.3650000000000002</v>
      </c>
      <c r="H23" t="str">
        <f t="shared" si="0"/>
        <v>APROBÓ</v>
      </c>
    </row>
    <row r="24" spans="1:8" x14ac:dyDescent="0.2">
      <c r="A24" s="2" t="s">
        <v>28</v>
      </c>
      <c r="B24" s="6"/>
      <c r="C24" s="6"/>
      <c r="D24" s="6">
        <v>3.9</v>
      </c>
      <c r="E24">
        <f>AVERAGE(B24:D24)</f>
        <v>3.9</v>
      </c>
      <c r="F24">
        <v>4.1500000000000004</v>
      </c>
      <c r="G24">
        <f t="shared" si="1"/>
        <v>4.0750000000000002</v>
      </c>
      <c r="H24" t="str">
        <f t="shared" si="0"/>
        <v>APROBÓ</v>
      </c>
    </row>
    <row r="25" spans="1:8" x14ac:dyDescent="0.2">
      <c r="A25" s="2" t="s">
        <v>29</v>
      </c>
      <c r="B25" s="6"/>
      <c r="C25" s="6"/>
      <c r="D25" s="6"/>
      <c r="E25" t="e">
        <f>AVERAGE(B25:D25)</f>
        <v>#DIV/0!</v>
      </c>
      <c r="G25" t="e">
        <f t="shared" si="1"/>
        <v>#DIV/0!</v>
      </c>
      <c r="H25" t="e">
        <f t="shared" si="0"/>
        <v>#DIV/0!</v>
      </c>
    </row>
    <row r="26" spans="1:8" x14ac:dyDescent="0.2">
      <c r="A26" s="2" t="s">
        <v>30</v>
      </c>
      <c r="B26" s="6"/>
      <c r="C26" s="6">
        <v>4.3</v>
      </c>
      <c r="D26" s="6">
        <v>4.5</v>
      </c>
      <c r="E26">
        <f>AVERAGE(B26:D26)</f>
        <v>4.4000000000000004</v>
      </c>
      <c r="F26">
        <v>4.4000000000000004</v>
      </c>
      <c r="G26">
        <f t="shared" si="1"/>
        <v>4.4000000000000004</v>
      </c>
      <c r="H26" t="str">
        <f t="shared" si="0"/>
        <v>APROBÓ</v>
      </c>
    </row>
    <row r="27" spans="1:8" x14ac:dyDescent="0.2">
      <c r="A27" s="2" t="s">
        <v>31</v>
      </c>
      <c r="B27" s="6"/>
      <c r="C27" s="6">
        <v>4.4000000000000004</v>
      </c>
      <c r="D27" s="6">
        <v>4</v>
      </c>
      <c r="E27">
        <f>AVERAGE(B27:D27)</f>
        <v>4.2</v>
      </c>
      <c r="F27">
        <v>4.3</v>
      </c>
      <c r="G27">
        <f t="shared" si="1"/>
        <v>4.2699999999999996</v>
      </c>
      <c r="H27" t="str">
        <f t="shared" si="0"/>
        <v>APROBÓ</v>
      </c>
    </row>
    <row r="28" spans="1:8" x14ac:dyDescent="0.2">
      <c r="A28" s="2" t="s">
        <v>32</v>
      </c>
      <c r="B28" s="6"/>
      <c r="C28" s="6"/>
      <c r="D28" s="6">
        <v>3.1</v>
      </c>
      <c r="E28">
        <f>AVERAGE(B28:D28)</f>
        <v>3.1</v>
      </c>
      <c r="F28">
        <v>4.17</v>
      </c>
      <c r="G28">
        <f t="shared" si="1"/>
        <v>3.8489999999999993</v>
      </c>
      <c r="H28" t="str">
        <f t="shared" si="0"/>
        <v>APROBÓ</v>
      </c>
    </row>
    <row r="29" spans="1:8" x14ac:dyDescent="0.2">
      <c r="A29" s="2" t="s">
        <v>33</v>
      </c>
      <c r="B29" s="6"/>
      <c r="C29" s="6" t="s">
        <v>40</v>
      </c>
      <c r="D29" s="6">
        <v>4.7</v>
      </c>
      <c r="E29">
        <f>AVERAGE(B29:D29)</f>
        <v>4.7</v>
      </c>
      <c r="F29">
        <v>4.17</v>
      </c>
      <c r="G29">
        <f t="shared" si="1"/>
        <v>4.3289999999999997</v>
      </c>
      <c r="H29" t="str">
        <f t="shared" si="0"/>
        <v>APROBÓ</v>
      </c>
    </row>
    <row r="30" spans="1:8" x14ac:dyDescent="0.2">
      <c r="A30" s="2" t="s">
        <v>34</v>
      </c>
      <c r="B30" s="6"/>
      <c r="C30" s="6">
        <v>4</v>
      </c>
      <c r="D30" s="6">
        <v>4.5</v>
      </c>
      <c r="E30">
        <f>AVERAGE(B30:D30)</f>
        <v>4.25</v>
      </c>
      <c r="F30">
        <v>4.07</v>
      </c>
      <c r="G30">
        <f t="shared" si="1"/>
        <v>4.1240000000000006</v>
      </c>
      <c r="H30" t="str">
        <f t="shared" si="0"/>
        <v>APROBÓ</v>
      </c>
    </row>
    <row r="31" spans="1:8" x14ac:dyDescent="0.2">
      <c r="A31" s="2" t="s">
        <v>35</v>
      </c>
      <c r="B31" s="6"/>
      <c r="C31" s="6">
        <v>3.99</v>
      </c>
      <c r="D31" s="6">
        <v>5</v>
      </c>
      <c r="E31">
        <f>AVERAGE(B31:D31)</f>
        <v>4.4950000000000001</v>
      </c>
      <c r="F31">
        <v>3.95</v>
      </c>
      <c r="G31">
        <f t="shared" si="1"/>
        <v>4.1135000000000002</v>
      </c>
      <c r="H31" t="str">
        <f t="shared" si="0"/>
        <v>APROBÓ</v>
      </c>
    </row>
    <row r="32" spans="1:8" x14ac:dyDescent="0.2">
      <c r="A32" s="2" t="s">
        <v>36</v>
      </c>
      <c r="B32" s="6"/>
      <c r="C32" s="6">
        <v>4.4000000000000004</v>
      </c>
      <c r="D32" s="6">
        <v>4.8</v>
      </c>
      <c r="E32">
        <f>AVERAGE(B32:D32)</f>
        <v>4.5999999999999996</v>
      </c>
      <c r="F32">
        <v>4.12</v>
      </c>
      <c r="G32">
        <f t="shared" si="1"/>
        <v>4.2639999999999993</v>
      </c>
      <c r="H32" t="str">
        <f t="shared" si="0"/>
        <v>APROBÓ</v>
      </c>
    </row>
    <row r="33" spans="1:8" x14ac:dyDescent="0.2">
      <c r="A33" s="2" t="s">
        <v>37</v>
      </c>
      <c r="B33" s="6"/>
      <c r="C33" s="6">
        <v>4.4000000000000004</v>
      </c>
      <c r="D33" s="6">
        <v>4.5999999999999996</v>
      </c>
      <c r="E33">
        <f>AVERAGE(B33:D33)</f>
        <v>4.5</v>
      </c>
      <c r="F33">
        <v>4.5</v>
      </c>
      <c r="G33">
        <f>(E33*0.3)+(F33*0.7)</f>
        <v>4.5</v>
      </c>
      <c r="H33" t="str">
        <f t="shared" si="0"/>
        <v>APROBÓ</v>
      </c>
    </row>
  </sheetData>
  <autoFilter ref="A1:H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Grace Villarreal</cp:lastModifiedBy>
  <dcterms:created xsi:type="dcterms:W3CDTF">2026-06-06T21:13:36Z</dcterms:created>
  <dcterms:modified xsi:type="dcterms:W3CDTF">2026-06-29T20:51:20Z</dcterms:modified>
</cp:coreProperties>
</file>